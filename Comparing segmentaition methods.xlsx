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 results" sheetId="1" r:id="rId4"/>
    <sheet state="visible" name="ChatGPT" sheetId="2" r:id="rId5"/>
    <sheet state="visible" name="Gemini" sheetId="3" r:id="rId6"/>
    <sheet state="visible" name="SAM" sheetId="4" r:id="rId7"/>
    <sheet state="visible" name="next sheet" sheetId="5" r:id="rId8"/>
  </sheets>
  <definedNames/>
  <calcPr/>
</workbook>
</file>

<file path=xl/sharedStrings.xml><?xml version="1.0" encoding="utf-8"?>
<sst xmlns="http://schemas.openxmlformats.org/spreadsheetml/2006/main" count="65" uniqueCount="29">
  <si>
    <t>В цьому листі наведено результати, зібрані з інших листів цього файлу. Кожен інший лист відображає тестування окремого методу знаходження дефектів</t>
  </si>
  <si>
    <t>Наприклад, на листі Sam наведено результати тестування Segment Anything Model</t>
  </si>
  <si>
    <t>Method</t>
  </si>
  <si>
    <t>Average accuracy (0 - 1)</t>
  </si>
  <si>
    <t>Notes on method</t>
  </si>
  <si>
    <t>ChatGPT</t>
  </si>
  <si>
    <t>Промт до ChatGPT, який знаходить дефекти, розділяє лист на зони різної якості, та пропонує порізку</t>
  </si>
  <si>
    <t>Gemini</t>
  </si>
  <si>
    <t>Промт до Gemini, який знаходить дефекти, розділяє лист на зони різної якості, та пропонує порізку</t>
  </si>
  <si>
    <t>SAM</t>
  </si>
  <si>
    <t>Сегментація в Colab Notebook, результат оцінюється людиною на око, які дефекти знайшов порівняно з labeled dataset, а які ні</t>
  </si>
  <si>
    <t>варіанти на розгляд</t>
  </si>
  <si>
    <t>YOLO (архітектура)</t>
  </si>
  <si>
    <t>COCO (датасет для навчання)</t>
  </si>
  <si>
    <t>Photo</t>
  </si>
  <si>
    <t>actual № of defects</t>
  </si>
  <si>
    <t>defects spotted by method</t>
  </si>
  <si>
    <t>Accuracy</t>
  </si>
  <si>
    <t>Average accuracy</t>
  </si>
  <si>
    <t>Notes</t>
  </si>
  <si>
    <t>500x1000</t>
  </si>
  <si>
    <t>160х220</t>
  </si>
  <si>
    <t>знайшов лише половину, але порізку запропонував нормально</t>
  </si>
  <si>
    <t>220x450</t>
  </si>
  <si>
    <t>310x580</t>
  </si>
  <si>
    <t>370x750</t>
  </si>
  <si>
    <t>відповідь була "не бачу вагомих дефектів", не розумію чому так, раніше знаходило краще ніж Chat GPT</t>
  </si>
  <si>
    <t>також виділив велику область листа як окремий сегмент, щоб усунути таке можна підкрутити параметри</t>
  </si>
  <si>
    <t>зайво виділяє великі області листа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</si>
</sst>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shrinkToFit="0" wrapText="0"/>
    </xf>
    <xf borderId="0" fillId="0" fontId="1" numFmtId="164" xfId="0" applyAlignment="1" applyFont="1" applyNumberFormat="1">
      <alignment horizontal="left" shrinkToFit="0" wrapText="0"/>
    </xf>
    <xf borderId="0" fillId="0" fontId="1" numFmtId="164" xfId="0" applyAlignment="1" applyFont="1" applyNumberFormat="1">
      <alignment horizontal="left" readingOrder="0" shrinkToFit="0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88"/>
    <col customWidth="1" min="3" max="3" width="19.63"/>
  </cols>
  <sheetData>
    <row r="1" ht="36.0" customHeight="1">
      <c r="A1" s="1" t="s">
        <v>0</v>
      </c>
      <c r="B1" s="2"/>
      <c r="C1" s="3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" t="s">
        <v>1</v>
      </c>
      <c r="B2" s="2"/>
      <c r="C2" s="3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/>
      <c r="C3" s="3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1" t="s">
        <v>2</v>
      </c>
      <c r="C4" s="4" t="s">
        <v>3</v>
      </c>
      <c r="E4" s="1" t="s">
        <v>4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1" t="s">
        <v>5</v>
      </c>
      <c r="C5" s="3">
        <f>ChatGPT!E2</f>
        <v>0.1905594406</v>
      </c>
      <c r="D5" s="2"/>
      <c r="E5" s="1" t="s">
        <v>6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2"/>
      <c r="B6" s="1" t="s">
        <v>7</v>
      </c>
      <c r="C6" s="3">
        <f>Gemini!E2</f>
        <v>0.1619047619</v>
      </c>
      <c r="D6" s="2"/>
      <c r="E6" s="1" t="s">
        <v>8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"/>
      <c r="B7" s="1" t="s">
        <v>9</v>
      </c>
      <c r="C7" s="3">
        <f>SAM!E2</f>
        <v>0.5907647908</v>
      </c>
      <c r="D7" s="2"/>
      <c r="E7" s="1" t="s">
        <v>10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"/>
      <c r="B8" s="1"/>
      <c r="C8" s="3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"/>
      <c r="B9" s="2"/>
      <c r="C9" s="3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" t="s">
        <v>11</v>
      </c>
      <c r="B10" s="2"/>
      <c r="C10" s="3"/>
      <c r="D10" s="2"/>
      <c r="E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"/>
      <c r="B11" s="1" t="s">
        <v>12</v>
      </c>
      <c r="C11" s="3"/>
      <c r="D11" s="2"/>
      <c r="E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"/>
      <c r="B12" s="1" t="s">
        <v>13</v>
      </c>
      <c r="C12" s="3"/>
      <c r="D12" s="2"/>
      <c r="E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"/>
      <c r="B13" s="2"/>
      <c r="C13" s="3"/>
      <c r="D13" s="2"/>
      <c r="E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"/>
      <c r="B14" s="2"/>
      <c r="C14" s="3"/>
      <c r="D14" s="2"/>
      <c r="E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1"/>
      <c r="C15" s="4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1"/>
      <c r="C16" s="4"/>
      <c r="D16" s="2"/>
      <c r="E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1"/>
      <c r="C17" s="4"/>
      <c r="D17" s="2"/>
      <c r="E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1"/>
      <c r="C18" s="4"/>
      <c r="D18" s="2"/>
      <c r="E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1"/>
      <c r="C19" s="4"/>
      <c r="D19" s="2"/>
      <c r="E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1"/>
      <c r="C20" s="4"/>
      <c r="D20" s="2"/>
      <c r="E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1"/>
      <c r="B21" s="1"/>
      <c r="C21" s="4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1"/>
      <c r="B22" s="1"/>
      <c r="C22" s="4"/>
      <c r="D22" s="2"/>
      <c r="E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1"/>
      <c r="B23" s="1"/>
      <c r="C23" s="4"/>
      <c r="D23" s="2"/>
      <c r="E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1"/>
      <c r="B24" s="1"/>
      <c r="C24" s="4"/>
      <c r="D24" s="2"/>
      <c r="E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1"/>
      <c r="B25" s="1"/>
      <c r="C25" s="4"/>
      <c r="D25" s="2"/>
      <c r="E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1"/>
      <c r="B26" s="1"/>
      <c r="C26" s="4"/>
      <c r="D26" s="2"/>
      <c r="E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3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3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3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3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3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3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3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3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3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3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3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3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3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3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3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3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3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3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3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3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3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3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3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3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3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3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3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3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3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3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3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3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3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3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3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3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3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3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3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3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3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3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3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3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3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3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3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3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3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3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3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3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3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3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3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3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3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3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3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3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3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3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3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3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3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3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3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3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3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3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3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3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3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3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3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3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3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3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3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3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3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3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3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3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3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3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3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3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3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3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3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3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3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3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3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3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3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3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3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3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3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3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3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3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3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3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3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3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3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3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3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3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3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3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3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3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3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3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3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3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3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3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3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3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3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3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3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3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3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3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3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3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3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3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3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3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3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3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3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3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3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3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3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3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3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3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3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3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3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3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3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3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3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3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3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3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3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3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3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3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3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3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3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3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3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3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3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3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3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3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3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3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3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3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3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3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3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3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3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3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3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3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3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3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3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3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3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3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3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3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3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3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3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3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3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3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3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3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3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3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3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3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3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3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3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3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3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3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3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3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3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3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3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3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3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3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3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3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3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3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3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3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3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3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3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3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3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3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3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3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3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3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3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3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3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3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3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3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3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3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3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3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3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3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3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3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3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3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3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3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3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3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3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3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3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3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3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3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3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3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3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3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3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3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3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3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3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3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3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3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3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3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3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3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3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3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3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3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3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3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3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3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3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3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3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3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3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3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3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3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3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3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3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3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3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3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3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3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3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3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3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3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3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3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3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3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3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3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3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3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3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3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3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3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3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3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3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3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3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3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3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3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3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3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3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3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3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3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3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3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3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3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3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3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3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3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3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3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3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3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3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3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3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3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3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3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3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3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3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3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3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3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3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3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3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3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3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3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3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3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3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3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3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3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3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3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3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3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3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3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3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3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3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3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3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3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3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3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3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3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3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3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3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3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3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3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3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3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3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3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3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3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3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3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3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3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3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3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3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3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3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3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3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3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3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3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3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3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3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3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3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3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3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3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3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3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3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3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3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3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3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3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3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3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3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3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3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3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3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3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3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3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3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3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3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3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3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3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3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3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3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3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3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3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3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3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3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3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3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3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3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3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3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3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3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3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3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3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3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3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3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3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3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3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3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3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3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3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3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3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3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3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3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3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3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3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3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3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3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3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3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3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3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3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3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3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3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3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3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3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3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3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3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3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3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3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3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3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3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3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3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3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3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3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3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3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3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3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3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3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3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3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3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3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3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3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3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3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3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3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3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3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3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3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3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3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3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3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3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3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3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3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3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3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3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3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3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3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3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3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3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3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3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3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3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3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3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3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3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3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3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3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3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3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3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3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3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3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3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3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3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3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3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3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3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3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3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3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3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3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3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3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3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3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3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3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3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3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3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3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3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3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3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3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3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3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3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3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3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3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3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3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3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3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3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3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3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3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3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3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3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3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3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3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3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3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3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3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3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3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3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3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3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3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3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3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3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3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3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3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3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3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3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3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3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3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3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3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3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3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3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3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3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3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3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3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3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3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3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3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3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3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3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3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3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3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3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3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3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3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3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3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3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3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3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3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3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3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3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3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3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3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3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3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3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3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3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3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3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3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3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3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3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3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3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3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3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3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3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3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3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3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3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3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3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3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3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3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3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3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3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3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3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3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3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3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3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3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3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3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3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3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3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3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3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3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3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3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3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3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3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3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3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3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3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3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3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3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3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3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3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3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3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3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3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3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3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3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3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3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3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3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3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3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3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3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3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3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3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3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3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3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3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3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3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3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3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3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3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3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3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3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3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3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3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3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3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3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3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3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3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3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3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3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3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3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3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3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3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3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3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3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3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3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3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3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3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3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3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3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3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3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3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3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3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3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3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3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3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3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3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3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3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3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3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3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3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3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3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3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3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3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3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3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3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3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3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3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3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3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3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3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3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3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3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3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3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3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3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3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3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3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3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3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3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3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3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3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3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3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3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3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3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3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3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3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3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3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3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3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3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3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3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3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3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3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3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3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3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3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3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3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3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3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3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3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3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3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3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3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3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3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3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3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3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3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3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3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3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3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3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3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3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3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3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3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3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3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3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3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3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3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3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3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3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3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3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3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3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3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3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3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3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3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3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3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3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3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3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3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3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3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3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3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3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3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3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3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3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3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3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3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3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3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3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3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3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3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3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3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3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3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3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3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3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3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3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3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3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3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3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3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3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3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3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3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3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3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3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3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3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3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3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3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3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3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3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3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3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3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3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3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3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3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3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3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3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3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3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3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3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3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3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3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3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3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3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3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3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3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3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3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3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3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3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3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>
      <c r="A1003" s="2"/>
      <c r="B1003" s="2"/>
      <c r="C1003" s="3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>
      <c r="A1004" s="2"/>
      <c r="B1004" s="2"/>
      <c r="C1004" s="3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>
      <c r="A1005" s="2"/>
      <c r="B1005" s="2"/>
      <c r="C1005" s="3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  <row r="1006">
      <c r="A1006" s="2"/>
      <c r="B1006" s="2"/>
      <c r="C1006" s="3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</row>
    <row r="1007">
      <c r="A1007" s="2"/>
      <c r="B1007" s="2"/>
      <c r="C1007" s="3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</row>
  </sheetData>
  <mergeCells count="3">
    <mergeCell ref="F9:F14"/>
    <mergeCell ref="F15:F20"/>
    <mergeCell ref="F21:F2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14</v>
      </c>
      <c r="B1" s="5" t="s">
        <v>15</v>
      </c>
      <c r="C1" s="5" t="s">
        <v>16</v>
      </c>
      <c r="D1" s="5" t="s">
        <v>17</v>
      </c>
      <c r="E1" s="5" t="s">
        <v>18</v>
      </c>
      <c r="G1" s="1" t="s">
        <v>19</v>
      </c>
    </row>
    <row r="2">
      <c r="A2" s="5" t="s">
        <v>20</v>
      </c>
      <c r="B2" s="5">
        <v>22.0</v>
      </c>
      <c r="C2" s="5">
        <v>8.0</v>
      </c>
      <c r="D2" s="6">
        <f t="shared" ref="D2:D7" si="1">C2/B2</f>
        <v>0.3636363636</v>
      </c>
      <c r="E2" s="6">
        <f>AVERAGE(D2:D100)</f>
        <v>0.1905594406</v>
      </c>
      <c r="G2" s="2"/>
    </row>
    <row r="3">
      <c r="A3" s="5" t="s">
        <v>20</v>
      </c>
      <c r="B3" s="5">
        <v>22.0</v>
      </c>
      <c r="C3" s="5">
        <v>7.0</v>
      </c>
      <c r="D3" s="6">
        <f t="shared" si="1"/>
        <v>0.3181818182</v>
      </c>
      <c r="G3" s="2"/>
    </row>
    <row r="4">
      <c r="A4" s="5" t="s">
        <v>21</v>
      </c>
      <c r="B4" s="5">
        <v>13.0</v>
      </c>
      <c r="C4" s="5">
        <v>6.0</v>
      </c>
      <c r="D4" s="6">
        <f t="shared" si="1"/>
        <v>0.4615384615</v>
      </c>
      <c r="G4" s="1" t="s">
        <v>22</v>
      </c>
    </row>
    <row r="5">
      <c r="A5" s="5" t="s">
        <v>23</v>
      </c>
      <c r="B5" s="5">
        <v>5.0</v>
      </c>
      <c r="C5" s="5"/>
      <c r="D5" s="6">
        <f t="shared" si="1"/>
        <v>0</v>
      </c>
      <c r="G5" s="2"/>
    </row>
    <row r="6">
      <c r="A6" s="5" t="s">
        <v>24</v>
      </c>
      <c r="B6" s="5">
        <v>21.0</v>
      </c>
      <c r="C6" s="6"/>
      <c r="D6" s="6">
        <f t="shared" si="1"/>
        <v>0</v>
      </c>
      <c r="G6" s="2"/>
    </row>
    <row r="7">
      <c r="A7" s="5" t="s">
        <v>25</v>
      </c>
      <c r="B7" s="5">
        <v>12.0</v>
      </c>
      <c r="C7" s="6"/>
      <c r="D7" s="6">
        <f t="shared" si="1"/>
        <v>0</v>
      </c>
      <c r="G7" s="2"/>
    </row>
  </sheetData>
  <mergeCells count="1">
    <mergeCell ref="E2:E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14</v>
      </c>
      <c r="B1" s="5" t="s">
        <v>15</v>
      </c>
      <c r="C1" s="5" t="s">
        <v>16</v>
      </c>
      <c r="D1" s="5" t="s">
        <v>17</v>
      </c>
      <c r="E1" s="5" t="s">
        <v>18</v>
      </c>
      <c r="G1" s="7" t="s">
        <v>19</v>
      </c>
    </row>
    <row r="2">
      <c r="A2" s="5" t="s">
        <v>20</v>
      </c>
      <c r="B2" s="5">
        <v>22.0</v>
      </c>
      <c r="C2" s="5">
        <v>0.0</v>
      </c>
      <c r="D2" s="6">
        <f t="shared" ref="D2:D7" si="1">C2/B2</f>
        <v>0</v>
      </c>
      <c r="E2" s="6">
        <f>AVERAGE(D2:D100)</f>
        <v>0.1619047619</v>
      </c>
      <c r="G2" s="1" t="s">
        <v>26</v>
      </c>
    </row>
    <row r="3">
      <c r="A3" s="5" t="s">
        <v>20</v>
      </c>
      <c r="B3" s="5">
        <v>22.0</v>
      </c>
      <c r="C3" s="5">
        <v>0.0</v>
      </c>
      <c r="D3" s="6">
        <f t="shared" si="1"/>
        <v>0</v>
      </c>
    </row>
    <row r="4">
      <c r="A4" s="5" t="s">
        <v>21</v>
      </c>
      <c r="B4" s="5">
        <v>13.0</v>
      </c>
      <c r="C4" s="5">
        <v>0.0</v>
      </c>
      <c r="D4" s="6">
        <f t="shared" si="1"/>
        <v>0</v>
      </c>
    </row>
    <row r="5">
      <c r="A5" s="5" t="s">
        <v>23</v>
      </c>
      <c r="B5" s="5">
        <v>5.0</v>
      </c>
      <c r="C5" s="5">
        <v>2.0</v>
      </c>
      <c r="D5" s="6">
        <f t="shared" si="1"/>
        <v>0.4</v>
      </c>
    </row>
    <row r="6">
      <c r="A6" s="5" t="s">
        <v>24</v>
      </c>
      <c r="B6" s="5">
        <v>21.0</v>
      </c>
      <c r="C6" s="5">
        <v>5.0</v>
      </c>
      <c r="D6" s="6">
        <f t="shared" si="1"/>
        <v>0.2380952381</v>
      </c>
    </row>
    <row r="7">
      <c r="A7" s="5" t="s">
        <v>25</v>
      </c>
      <c r="B7" s="5">
        <v>12.0</v>
      </c>
      <c r="C7" s="5">
        <v>4.0</v>
      </c>
      <c r="D7" s="6">
        <f t="shared" si="1"/>
        <v>0.3333333333</v>
      </c>
    </row>
  </sheetData>
  <mergeCells count="1">
    <mergeCell ref="E2:E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14</v>
      </c>
      <c r="B1" s="5" t="s">
        <v>15</v>
      </c>
      <c r="C1" s="5" t="s">
        <v>16</v>
      </c>
      <c r="D1" s="5" t="s">
        <v>17</v>
      </c>
      <c r="E1" s="5" t="s">
        <v>18</v>
      </c>
      <c r="G1" s="7" t="s">
        <v>19</v>
      </c>
    </row>
    <row r="2">
      <c r="A2" s="5" t="s">
        <v>20</v>
      </c>
      <c r="B2" s="5">
        <v>22.0</v>
      </c>
      <c r="C2" s="5">
        <v>4.0</v>
      </c>
      <c r="D2" s="6">
        <f t="shared" ref="D2:D7" si="1">C2/B2</f>
        <v>0.1818181818</v>
      </c>
      <c r="E2" s="6">
        <f>AVERAGE(D2:D100)</f>
        <v>0.5907647908</v>
      </c>
    </row>
    <row r="3">
      <c r="A3" s="5" t="s">
        <v>20</v>
      </c>
      <c r="B3" s="5">
        <v>22.0</v>
      </c>
      <c r="C3" s="5">
        <v>4.0</v>
      </c>
      <c r="D3" s="6">
        <f t="shared" si="1"/>
        <v>0.1818181818</v>
      </c>
    </row>
    <row r="4">
      <c r="A4" s="5" t="s">
        <v>21</v>
      </c>
      <c r="B4" s="5">
        <v>13.0</v>
      </c>
      <c r="C4" s="5">
        <v>13.0</v>
      </c>
      <c r="D4" s="6">
        <f t="shared" si="1"/>
        <v>1</v>
      </c>
    </row>
    <row r="5">
      <c r="A5" s="5" t="s">
        <v>23</v>
      </c>
      <c r="B5" s="5">
        <v>5.0</v>
      </c>
      <c r="C5" s="5">
        <v>4.0</v>
      </c>
      <c r="D5" s="6">
        <f t="shared" si="1"/>
        <v>0.8</v>
      </c>
    </row>
    <row r="6">
      <c r="A6" s="5" t="s">
        <v>24</v>
      </c>
      <c r="B6" s="5">
        <v>21.0</v>
      </c>
      <c r="C6" s="5">
        <v>15.0</v>
      </c>
      <c r="D6" s="6">
        <f t="shared" si="1"/>
        <v>0.7142857143</v>
      </c>
      <c r="G6" s="7" t="s">
        <v>27</v>
      </c>
    </row>
    <row r="7">
      <c r="A7" s="5" t="s">
        <v>25</v>
      </c>
      <c r="B7" s="5">
        <v>12.0</v>
      </c>
      <c r="C7" s="5">
        <v>8.0</v>
      </c>
      <c r="D7" s="6">
        <f t="shared" si="1"/>
        <v>0.6666666667</v>
      </c>
      <c r="G7" s="7" t="s">
        <v>28</v>
      </c>
    </row>
  </sheetData>
  <mergeCells count="1">
    <mergeCell ref="E2:E7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14</v>
      </c>
      <c r="B1" s="5" t="s">
        <v>15</v>
      </c>
      <c r="C1" s="5" t="s">
        <v>16</v>
      </c>
      <c r="D1" s="5" t="s">
        <v>17</v>
      </c>
      <c r="E1" s="5" t="s">
        <v>18</v>
      </c>
    </row>
    <row r="2">
      <c r="A2" s="5" t="s">
        <v>20</v>
      </c>
      <c r="B2" s="5">
        <v>22.0</v>
      </c>
      <c r="C2" s="5"/>
      <c r="D2" s="6">
        <f t="shared" ref="D2:D7" si="1">C2/B2</f>
        <v>0</v>
      </c>
      <c r="E2" s="6">
        <f>AVERAGE(D1:D100)</f>
        <v>0</v>
      </c>
    </row>
    <row r="3">
      <c r="A3" s="5" t="s">
        <v>20</v>
      </c>
      <c r="B3" s="5">
        <v>22.0</v>
      </c>
      <c r="C3" s="5"/>
      <c r="D3" s="6">
        <f t="shared" si="1"/>
        <v>0</v>
      </c>
    </row>
    <row r="4">
      <c r="A4" s="5" t="s">
        <v>21</v>
      </c>
      <c r="B4" s="5">
        <v>13.0</v>
      </c>
      <c r="C4" s="5"/>
      <c r="D4" s="6">
        <f t="shared" si="1"/>
        <v>0</v>
      </c>
    </row>
    <row r="5">
      <c r="A5" s="5" t="s">
        <v>23</v>
      </c>
      <c r="B5" s="5">
        <v>5.0</v>
      </c>
      <c r="C5" s="6"/>
      <c r="D5" s="6">
        <f t="shared" si="1"/>
        <v>0</v>
      </c>
    </row>
    <row r="6">
      <c r="A6" s="5" t="s">
        <v>24</v>
      </c>
      <c r="B6" s="5">
        <v>21.0</v>
      </c>
      <c r="C6" s="6"/>
      <c r="D6" s="6">
        <f t="shared" si="1"/>
        <v>0</v>
      </c>
    </row>
    <row r="7">
      <c r="A7" s="5" t="s">
        <v>25</v>
      </c>
      <c r="B7" s="5">
        <v>12.0</v>
      </c>
      <c r="C7" s="6"/>
      <c r="D7" s="6">
        <f t="shared" si="1"/>
        <v>0</v>
      </c>
    </row>
  </sheetData>
  <mergeCells count="1">
    <mergeCell ref="E2:E7"/>
  </mergeCells>
  <drawing r:id="rId1"/>
</worksheet>
</file>